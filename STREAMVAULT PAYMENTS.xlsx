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\Desktop\streamvault\"/>
    </mc:Choice>
  </mc:AlternateContent>
  <bookViews>
    <workbookView xWindow="0" yWindow="0" windowWidth="1438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D16" i="1"/>
  <c r="C16" i="1"/>
  <c r="B16" i="1"/>
  <c r="D20" i="1" l="1"/>
  <c r="D19" i="1"/>
  <c r="D21" i="1" l="1"/>
</calcChain>
</file>

<file path=xl/sharedStrings.xml><?xml version="1.0" encoding="utf-8"?>
<sst xmlns="http://schemas.openxmlformats.org/spreadsheetml/2006/main" count="29" uniqueCount="27">
  <si>
    <t>INCOME</t>
  </si>
  <si>
    <t>DOLLARS</t>
  </si>
  <si>
    <t>LBP</t>
  </si>
  <si>
    <t>OUTCOME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</si>
  <si>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</si>
  <si>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</si>
  <si>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</si>
  <si>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</si>
  <si>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</si>
  <si>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</si>
  <si>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</si>
  <si>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</si>
  <si>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</si>
  <si>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SEMPTEMBER</t>
  </si>
  <si>
    <t>OCTOBER</t>
  </si>
  <si>
    <t>NOVEMBER</t>
  </si>
  <si>
    <t>DECEMBER</t>
  </si>
  <si>
    <t>STREAMVAULT PAYMENTS</t>
  </si>
  <si>
    <t>INCOME INFO</t>
  </si>
  <si>
    <t>OUTCOME INFO</t>
  </si>
  <si>
    <t>TOTAL</t>
  </si>
  <si>
    <t>TOTAL INCOME</t>
  </si>
  <si>
    <t>TOTAL OUTCOME</t>
  </si>
  <si>
    <t xml:space="preserve">PROFIT </t>
  </si>
  <si>
    <t xml:space="preserve">from before 80$                   net premium -20$ X2                net standard  -8$                           net basic  -8$ X2                             anghami -8$                              disney+ -16$ X2                               spotify -20$ X2                             shahid -10$     X2                             ads (2 posts net,shahid) 60$                   </t>
  </si>
  <si>
    <t>PROFIT</t>
  </si>
  <si>
    <t>184$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</si>
</sst>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([$LBP]\ * #,##0.00_);_([$LBP]\ * \(#,##0.00\);_([$LBP]\ 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48"/>
      <color rgb="FF9966FF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7DFF"/>
        <bgColor indexed="64"/>
      </patternFill>
    </fill>
    <fill>
      <patternFill patternType="solid">
        <fgColor rgb="FFD7A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4" fontId="8" fillId="0" borderId="1" xfId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4" fontId="8" fillId="3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11" fillId="0" borderId="1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D7AFFF"/>
      <color rgb="FFBE7DFF"/>
      <color rgb="FF9966FF"/>
      <color rgb="FF9900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1110095</xdr:colOff>
      <xdr:row>0</xdr:row>
      <xdr:rowOff>78509</xdr:rowOff>
    </xdr:from>
    <xdr:to>
      <xdr:col>2</xdr:col>
      <xdr:colOff>96404</xdr:colOff>
      <xdr:row>0</xdr:row>
      <xdr:rowOff>854364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9640" y="78509"/>
          <a:ext cx="775855" cy="775855"/>
        </a:xfrm>
        <a:prstGeom prst="ellipse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zoomScale="55" zoomScaleNormal="55" workbookViewId="0">
      <selection activeCell="K5" sqref="K5"/>
    </sheetView>
  </sheetViews>
  <sheetFormatPr defaultRowHeight="14.5" x14ac:dyDescent="0.35"/>
  <cols>
    <col min="1" max="5" width="25.6328125" customWidth="1"/>
    <col min="6" max="6" width="34" customWidth="1"/>
    <col min="7" max="7" width="34.7265625" customWidth="1"/>
    <col min="8" max="8" width="27.90625" customWidth="1"/>
  </cols>
  <sheetData>
    <row r="1" spans="1:8" ht="74" customHeight="1" x14ac:dyDescent="0.35">
      <c r="A1" s="13" t="s">
        <v>17</v>
      </c>
      <c r="B1" s="14"/>
      <c r="C1" s="14"/>
      <c r="D1" s="14"/>
      <c r="E1" s="14"/>
      <c r="F1" s="14"/>
      <c r="G1" s="14"/>
      <c r="H1" s="14"/>
    </row>
    <row r="2" spans="1:8" ht="21" x14ac:dyDescent="0.5">
      <c r="A2" s="3"/>
      <c r="B2" s="12" t="s">
        <v>0</v>
      </c>
      <c r="C2" s="12"/>
      <c r="D2" s="12" t="s">
        <v>3</v>
      </c>
      <c r="E2" s="12"/>
      <c r="F2" s="15" t="s">
        <v>18</v>
      </c>
      <c r="G2" s="15" t="s">
        <v>19</v>
      </c>
      <c r="H2" s="15" t="s">
        <v>25</v>
      </c>
    </row>
    <row r="3" spans="1:8" ht="36.5" customHeight="1" x14ac:dyDescent="0.35">
      <c r="A3" s="1" t="s">
        <v>4</v>
      </c>
      <c r="B3" s="2" t="s">
        <v>1</v>
      </c>
      <c r="C3" s="2" t="s">
        <v>2</v>
      </c>
      <c r="D3" s="2" t="s">
        <v>1</v>
      </c>
      <c r="E3" s="2" t="s">
        <v>2</v>
      </c>
      <c r="F3" s="15"/>
      <c r="G3" s="15"/>
      <c r="H3" s="15"/>
    </row>
    <row r="4" spans="1:8" ht="217.5" customHeight="1" x14ac:dyDescent="0.35">
      <c r="A4" s="2" t="s">
        <v>5</v>
      </c>
      <c r="B4" s="10">
        <v>416.5</v>
      </c>
      <c r="C4" s="10">
        <v>300000</v>
      </c>
      <c r="D4" s="10">
        <v>235</v>
      </c>
      <c r="E4" s="10"/>
      <c r="F4" s="11"/>
      <c r="G4" s="11" t="s">
        <v>24</v>
      </c>
      <c r="H4" s="17" t="s">
        <v>26</v>
      </c>
    </row>
    <row r="5" spans="1:8" ht="37.5" customHeight="1" x14ac:dyDescent="0.35">
      <c r="A5" s="2" t="s">
        <v>6</v>
      </c>
      <c r="B5" s="10">
        <v>117</v>
      </c>
      <c r="C5" s="10"/>
      <c r="D5" s="10">
        <v>220</v>
      </c>
      <c r="E5" s="10"/>
      <c r="F5" s="11"/>
      <c r="G5" s="11"/>
      <c r="H5" s="17">
        <v>-103</v>
      </c>
    </row>
    <row r="6" spans="1:8" ht="26.5" customHeight="1" x14ac:dyDescent="0.35">
      <c r="A6" s="2" t="s">
        <v>7</v>
      </c>
      <c r="B6" s="10"/>
      <c r="C6" s="10"/>
      <c r="D6" s="10"/>
      <c r="E6" s="10"/>
      <c r="F6" s="11"/>
      <c r="G6" s="11"/>
      <c r="H6" s="16"/>
    </row>
    <row r="7" spans="1:8" ht="26.5" customHeight="1" x14ac:dyDescent="0.35">
      <c r="A7" s="2" t="s">
        <v>8</v>
      </c>
      <c r="B7" s="10"/>
      <c r="C7" s="10"/>
      <c r="D7" s="10"/>
      <c r="E7" s="10"/>
      <c r="F7" s="11"/>
      <c r="G7" s="11"/>
      <c r="H7" s="16"/>
    </row>
    <row r="8" spans="1:8" ht="25" customHeight="1" x14ac:dyDescent="0.35">
      <c r="A8" s="2" t="s">
        <v>9</v>
      </c>
      <c r="B8" s="10"/>
      <c r="C8" s="10"/>
      <c r="D8" s="10"/>
      <c r="E8" s="10"/>
      <c r="F8" s="11"/>
      <c r="G8" s="11"/>
      <c r="H8" s="16"/>
    </row>
    <row r="9" spans="1:8" ht="22.5" customHeight="1" x14ac:dyDescent="0.35">
      <c r="A9" s="2" t="s">
        <v>10</v>
      </c>
      <c r="B9" s="10"/>
      <c r="C9" s="10"/>
      <c r="D9" s="10"/>
      <c r="E9" s="10"/>
      <c r="F9" s="11"/>
      <c r="G9" s="11"/>
      <c r="H9" s="16"/>
    </row>
    <row r="10" spans="1:8" ht="28" customHeight="1" x14ac:dyDescent="0.35">
      <c r="A10" s="2" t="s">
        <v>11</v>
      </c>
      <c r="B10" s="10"/>
      <c r="C10" s="10"/>
      <c r="D10" s="10"/>
      <c r="E10" s="10"/>
      <c r="F10" s="11"/>
      <c r="G10" s="11"/>
      <c r="H10" s="16"/>
    </row>
    <row r="11" spans="1:8" ht="21.5" customHeight="1" x14ac:dyDescent="0.35">
      <c r="A11" s="2" t="s">
        <v>12</v>
      </c>
      <c r="B11" s="10"/>
      <c r="C11" s="10"/>
      <c r="D11" s="10"/>
      <c r="E11" s="10"/>
      <c r="F11" s="11"/>
      <c r="G11" s="11"/>
      <c r="H11" s="16"/>
    </row>
    <row r="12" spans="1:8" ht="24.5" customHeight="1" x14ac:dyDescent="0.35">
      <c r="A12" s="2" t="s">
        <v>13</v>
      </c>
      <c r="B12" s="10"/>
      <c r="C12" s="10"/>
      <c r="D12" s="10"/>
      <c r="E12" s="10"/>
      <c r="F12" s="11"/>
      <c r="G12" s="11"/>
      <c r="H12" s="16"/>
    </row>
    <row r="13" spans="1:8" ht="23.5" customHeight="1" x14ac:dyDescent="0.35">
      <c r="A13" s="2" t="s">
        <v>14</v>
      </c>
      <c r="B13" s="10"/>
      <c r="C13" s="10"/>
      <c r="D13" s="10"/>
      <c r="E13" s="10"/>
      <c r="F13" s="11"/>
      <c r="G13" s="11"/>
      <c r="H13" s="16"/>
    </row>
    <row r="14" spans="1:8" ht="25.5" customHeight="1" x14ac:dyDescent="0.35">
      <c r="A14" s="2" t="s">
        <v>15</v>
      </c>
      <c r="B14" s="10"/>
      <c r="C14" s="10"/>
      <c r="D14" s="10"/>
      <c r="E14" s="10"/>
      <c r="F14" s="11"/>
      <c r="G14" s="11"/>
      <c r="H14" s="16"/>
    </row>
    <row r="15" spans="1:8" ht="23.5" customHeight="1" x14ac:dyDescent="0.35">
      <c r="A15" s="2" t="s">
        <v>16</v>
      </c>
      <c r="B15" s="10"/>
      <c r="C15" s="10"/>
      <c r="D15" s="10"/>
      <c r="E15" s="10"/>
      <c r="F15" s="11"/>
      <c r="G15" s="11"/>
      <c r="H15" s="16"/>
    </row>
    <row r="16" spans="1:8" ht="34" customHeight="1" x14ac:dyDescent="0.35">
      <c r="A16" s="4" t="s">
        <v>20</v>
      </c>
      <c r="B16" s="6">
        <f>SUM(B4:B15)</f>
        <v>533.5</v>
      </c>
      <c r="C16" s="7">
        <f>SUM(C4:C15)</f>
        <v>300000</v>
      </c>
      <c r="D16" s="6">
        <f>SUM(D4:D15)</f>
        <v>455</v>
      </c>
      <c r="E16" s="7">
        <f>SUM(E4:E15)</f>
        <v>0</v>
      </c>
      <c r="F16" s="5"/>
      <c r="G16" s="5"/>
      <c r="H16" s="16"/>
    </row>
    <row r="19" spans="3:4" ht="23.5" x14ac:dyDescent="0.35">
      <c r="C19" s="8" t="s">
        <v>21</v>
      </c>
      <c r="D19" s="9">
        <f>B16+(C16/90000)</f>
        <v>536.83333333333337</v>
      </c>
    </row>
    <row r="20" spans="3:4" ht="23.5" x14ac:dyDescent="0.35">
      <c r="C20" s="8" t="s">
        <v>22</v>
      </c>
      <c r="D20" s="9">
        <f>D16+(E16/90000)</f>
        <v>455</v>
      </c>
    </row>
    <row r="21" spans="3:4" ht="23.5" x14ac:dyDescent="0.35">
      <c r="C21" s="8" t="s">
        <v>23</v>
      </c>
      <c r="D21" s="9">
        <f>D19-D20</f>
        <v>81.833333333333371</v>
      </c>
    </row>
  </sheetData>
  <mergeCells count="6">
    <mergeCell ref="B2:C2"/>
    <mergeCell ref="D2:E2"/>
    <mergeCell ref="A1:H1"/>
    <mergeCell ref="F2:F3"/>
    <mergeCell ref="G2:G3"/>
    <mergeCell ref="H2:H3"/>
  </mergeCells>
  <pageMargins left="0.7" right="0.7" top="0.75" bottom="0.75" header="0.3" footer="0.3"/>
  <pageSetup orientation="portrait" horizontalDpi="200" verticalDpi="20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2026-01-16T09:02:35Z</dcterms:created>
  <dcterms:modified xsi:type="dcterms:W3CDTF">2026-03-04T21:12:49Z</dcterms:modified>
</cp:coreProperties>
</file>